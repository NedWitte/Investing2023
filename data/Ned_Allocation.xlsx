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fizer-my.sharepoint.com/personal/wittej09_pfizer_com/Documents/Documents/Quarto/KarambolageInvesting/Investing2023/data/"/>
    </mc:Choice>
  </mc:AlternateContent>
  <xr:revisionPtr revIDLastSave="3145" documentId="11_0B82D11B6A48B65002E97C353EDCE6B220F4367A" xr6:coauthVersionLast="47" xr6:coauthVersionMax="47" xr10:uidLastSave="{346A9927-FD26-45E2-9C66-3064E77D32E9}"/>
  <bookViews>
    <workbookView xWindow="-120" yWindow="-120" windowWidth="29040" windowHeight="15840" xr2:uid="{00000000-000D-0000-FFFF-FFFF00000000}"/>
  </bookViews>
  <sheets>
    <sheet name="allocation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7" l="1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</calcChain>
</file>

<file path=xl/sharedStrings.xml><?xml version="1.0" encoding="utf-8"?>
<sst xmlns="http://schemas.openxmlformats.org/spreadsheetml/2006/main" count="203" uniqueCount="73">
  <si>
    <t>Johnson&amp;Johnson</t>
  </si>
  <si>
    <t>ThermoFisher Scientific</t>
  </si>
  <si>
    <t>Alphabet</t>
  </si>
  <si>
    <t>Samsung</t>
  </si>
  <si>
    <t>Brookfield Corp</t>
  </si>
  <si>
    <t>Alibaba</t>
  </si>
  <si>
    <t>Texas Instruments</t>
  </si>
  <si>
    <t>Rexford Realty</t>
  </si>
  <si>
    <t>stock</t>
  </si>
  <si>
    <t>percentage</t>
  </si>
  <si>
    <t>ETF-rest</t>
  </si>
  <si>
    <t>Asia-ETF</t>
  </si>
  <si>
    <t>money</t>
  </si>
  <si>
    <t>comment</t>
  </si>
  <si>
    <t>hold</t>
  </si>
  <si>
    <t>risk</t>
  </si>
  <si>
    <t>low</t>
  </si>
  <si>
    <t>horizont</t>
  </si>
  <si>
    <t>30y</t>
  </si>
  <si>
    <t>add</t>
  </si>
  <si>
    <t>add worth 5k</t>
  </si>
  <si>
    <t xml:space="preserve">add 10k </t>
  </si>
  <si>
    <t>50y</t>
  </si>
  <si>
    <t>ideal_add_price</t>
  </si>
  <si>
    <t>market</t>
  </si>
  <si>
    <t>US</t>
  </si>
  <si>
    <t>all</t>
  </si>
  <si>
    <t>ASIA</t>
  </si>
  <si>
    <t>EU</t>
  </si>
  <si>
    <t>add Olympus/ HDFC bank/Lrs Trb</t>
  </si>
  <si>
    <t>add 2025</t>
  </si>
  <si>
    <t>add later</t>
  </si>
  <si>
    <t>add occasionally</t>
  </si>
  <si>
    <t>med</t>
  </si>
  <si>
    <t>final target reached 2024</t>
  </si>
  <si>
    <t>sell at 5T</t>
  </si>
  <si>
    <t>Amazon</t>
  </si>
  <si>
    <t>Apple</t>
  </si>
  <si>
    <t>JNJ</t>
  </si>
  <si>
    <t>Pfizer</t>
  </si>
  <si>
    <t>American Tower</t>
  </si>
  <si>
    <t>Visa</t>
  </si>
  <si>
    <t>Ni portfolio</t>
  </si>
  <si>
    <t>money_rn</t>
  </si>
  <si>
    <t xml:space="preserve"> bank</t>
  </si>
  <si>
    <t>ING</t>
  </si>
  <si>
    <t>Scal</t>
  </si>
  <si>
    <t>NVIDIA</t>
  </si>
  <si>
    <t>Synopsis</t>
  </si>
  <si>
    <t>Softbank Group</t>
  </si>
  <si>
    <t>Microsoft</t>
  </si>
  <si>
    <t>CASH</t>
  </si>
  <si>
    <t>5% trading</t>
  </si>
  <si>
    <t>H B Fuller</t>
  </si>
  <si>
    <t>CN</t>
  </si>
  <si>
    <t>CAD</t>
  </si>
  <si>
    <t>healthcare</t>
  </si>
  <si>
    <t>heatlh tech</t>
  </si>
  <si>
    <t>tech</t>
  </si>
  <si>
    <t>IP</t>
  </si>
  <si>
    <t>Tech</t>
  </si>
  <si>
    <t>Real estate</t>
  </si>
  <si>
    <t>trading</t>
  </si>
  <si>
    <t>ETF</t>
  </si>
  <si>
    <t>area</t>
  </si>
  <si>
    <t>percentage_rn</t>
  </si>
  <si>
    <t>NR</t>
  </si>
  <si>
    <t>Materials</t>
  </si>
  <si>
    <t>Finance</t>
  </si>
  <si>
    <t xml:space="preserve">add Reliance, add </t>
  </si>
  <si>
    <t>exp_value_2034</t>
  </si>
  <si>
    <t>exp_value_2044</t>
  </si>
  <si>
    <t>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</si>
</sst>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.00"/>
  </numFmts>
  <fonts count="9">
    <font>
      <sz val="10"/>
      <color rgb="FF000000"/>
      <name val="Arial"/>
    </font>
    <font>
      <sz val="14"/>
      <color rgb="FF0000FF"/>
      <name val="Arial"/>
      <family val="2"/>
    </font>
    <font>
      <sz val="12"/>
      <color rgb="FF000000"/>
      <name val="&quot;Times New Roman&quot;"/>
    </font>
    <font>
      <sz val="10"/>
      <color rgb="FF000000"/>
      <name val="Arial"/>
      <family val="2"/>
    </font>
    <font>
      <sz val="8"/>
      <name val="Arial"/>
    </font>
    <font>
      <sz val="12"/>
      <color theme="1"/>
      <name val="&quot;Times New Roman&quot;"/>
    </font>
    <font>
      <sz val="11"/>
      <color rgb="FF0000FF"/>
      <name val="Arial"/>
      <family val="2"/>
    </font>
    <font>
      <sz val="10"/>
      <color theme="1"/>
      <name val="Arial"/>
    </font>
    <font>
      <b/>
      <sz val="10"/>
      <color theme="0"/>
      <name val="Arial"/>
    </font>
  </fonts>
  <fills count="5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theme="3" tint="0.59999389629810485"/>
        <bgColor rgb="FFEFEFEF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theme="1"/>
      </left>
      <right style="thin">
        <color rgb="FF000000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2" borderId="1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</cellXfs>
  <cellStyles count="1">
    <cellStyle name="Normal" xfId="0" builtinId="0"/>
  </cellStyles>
  <dxfs count="1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&quot;Times New Roman&quot;"/>
        <scheme val="none"/>
      </font>
      <fill>
        <patternFill patternType="solid">
          <fgColor rgb="FFEFEFEF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rgb="FF000000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&quot;Times New Roman&quot;"/>
        <scheme val="none"/>
      </font>
      <fill>
        <patternFill patternType="solid">
          <fgColor rgb="FFEFEFEF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rgb="FF000000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family val="2"/>
        <scheme val="none"/>
      </font>
      <numFmt numFmtId="164" formatCode="[$£-809]#,##0.00"/>
      <fill>
        <patternFill patternType="solid">
          <fgColor rgb="FFEFEFEF"/>
          <bgColor rgb="FFEFEFEF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12D024-C660-47A7-944D-0712AE04ADFE}" name="Table2" displayName="Table2" ref="A1:O18" totalsRowShown="0" headerRowDxfId="15" dataDxfId="14" tableBorderDxfId="13">
  <autoFilter ref="A1:O18" xr:uid="{4E12D024-C660-47A7-944D-0712AE04ADFE}"/>
  <tableColumns count="15">
    <tableColumn id="1" xr3:uid="{0CB60D1F-CB63-4831-BE78-1EF683F37C35}" name="NR" dataDxfId="12"/>
    <tableColumn id="2" xr3:uid="{69B5D4B6-3ADF-4DAF-B7E4-34A6CC4DF63B}" name="stock" dataDxfId="11"/>
    <tableColumn id="3" xr3:uid="{DA868614-AF04-425A-BEE2-56C9BE625B15}" name="area" dataDxfId="10"/>
    <tableColumn id="4" xr3:uid="{909993C9-E0BC-49CA-8332-D7667D3E223F}" name="market" dataDxfId="9"/>
    <tableColumn id="5" xr3:uid="{0AD08838-6EAD-4D3D-A036-556D50FDA9A2}" name=" bank" dataDxfId="8"/>
    <tableColumn id="6" xr3:uid="{71E81882-D46D-4679-B3E7-560CDFBBBAB8}" name="percentage" dataDxfId="7"/>
    <tableColumn id="7" xr3:uid="{38190A2C-8EDC-42DB-B013-0496A4199E62}" name="percentage_rn" dataDxfId="6"/>
    <tableColumn id="8" xr3:uid="{1D2B059B-0983-4B09-897A-85FCF03A2411}" name="money" dataDxfId="5">
      <calculatedColumnFormula>F2*3000</calculatedColumnFormula>
    </tableColumn>
    <tableColumn id="9" xr3:uid="{373D9C88-14A7-4B4F-9A71-17DB170CA91D}" name="money_rn" dataDxfId="4"/>
    <tableColumn id="10" xr3:uid="{FCCD4E85-04B9-4A61-8E67-C367E23A7F74}" name="risk" dataDxfId="3"/>
    <tableColumn id="11" xr3:uid="{FA7A9436-505F-4C1C-BFCC-E9728001D623}" name="horizont" dataDxfId="2"/>
    <tableColumn id="12" xr3:uid="{2B338FB5-500B-4578-AFF2-267C9D5A8DBF}" name="exp_value_2034" dataDxfId="1"/>
    <tableColumn id="13" xr3:uid="{A998207F-B119-43B3-ACAB-DB8FC8A4A071}" name="exp_value_2044" dataDxfId="0"/>
    <tableColumn id="14" xr3:uid="{98B877EA-7E4A-41D3-B970-50EA4BA4E422}" name="comment"/>
    <tableColumn id="15" xr3:uid="{EBAB8D89-B329-43CD-B263-FA1B31C9EA59}" name="ideal_add_price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98FBC-D496-4C62-AFB1-6215D47A8979}">
  <dimension ref="A1:O59"/>
  <sheetViews>
    <sheetView tabSelected="1" workbookViewId="0">
      <selection activeCell="D10" sqref="D10"/>
    </sheetView>
  </sheetViews>
  <sheetFormatPr defaultRowHeight="12.75"/>
  <cols>
    <col min="1" max="1" width="7" customWidth="1"/>
    <col min="2" max="2" width="26.28515625" style="3" customWidth="1"/>
    <col min="3" max="3" width="21.5703125" style="3" customWidth="1"/>
    <col min="4" max="4" width="9.5703125" style="3" customWidth="1"/>
    <col min="5" max="5" width="9.140625" style="3" customWidth="1"/>
    <col min="6" max="6" width="14.7109375" style="3" customWidth="1"/>
    <col min="7" max="7" width="16.5703125" style="3" customWidth="1"/>
    <col min="8" max="8" width="11.5703125" style="3" customWidth="1"/>
    <col min="9" max="9" width="12.42578125" style="3" customWidth="1"/>
    <col min="10" max="10" width="10.28515625" style="3" customWidth="1"/>
    <col min="11" max="11" width="10.85546875" customWidth="1"/>
    <col min="12" max="12" width="22.5703125" customWidth="1"/>
    <col min="13" max="13" width="22.140625" customWidth="1"/>
    <col min="14" max="14" width="33.85546875" customWidth="1"/>
    <col min="15" max="15" width="20.7109375" customWidth="1"/>
  </cols>
  <sheetData>
    <row r="1" spans="1:15" ht="14.25">
      <c r="A1" s="9" t="s">
        <v>66</v>
      </c>
      <c r="B1" s="8" t="s">
        <v>8</v>
      </c>
      <c r="C1" s="8" t="s">
        <v>64</v>
      </c>
      <c r="D1" s="8" t="s">
        <v>24</v>
      </c>
      <c r="E1" s="8" t="s">
        <v>44</v>
      </c>
      <c r="F1" s="8" t="s">
        <v>9</v>
      </c>
      <c r="G1" s="8" t="s">
        <v>65</v>
      </c>
      <c r="H1" s="8" t="s">
        <v>12</v>
      </c>
      <c r="I1" s="8" t="s">
        <v>43</v>
      </c>
      <c r="J1" s="8" t="s">
        <v>15</v>
      </c>
      <c r="K1" s="8" t="s">
        <v>17</v>
      </c>
      <c r="L1" s="8" t="s">
        <v>70</v>
      </c>
      <c r="M1" s="8" t="s">
        <v>71</v>
      </c>
      <c r="N1" s="8" t="s">
        <v>13</v>
      </c>
      <c r="O1" s="8" t="s">
        <v>23</v>
      </c>
    </row>
    <row r="2" spans="1:15" ht="15">
      <c r="A2" s="10">
        <v>1</v>
      </c>
      <c r="B2" s="6" t="s">
        <v>0</v>
      </c>
      <c r="C2" s="6" t="s">
        <v>56</v>
      </c>
      <c r="D2" s="3" t="s">
        <v>25</v>
      </c>
      <c r="E2" s="3" t="s">
        <v>45</v>
      </c>
      <c r="F2" s="5">
        <v>0.04</v>
      </c>
      <c r="G2" s="5"/>
      <c r="H2" s="3">
        <f t="shared" ref="H2:H18" si="0">F2*3000</f>
        <v>120</v>
      </c>
      <c r="I2" s="3">
        <v>10</v>
      </c>
      <c r="J2" s="3" t="s">
        <v>16</v>
      </c>
      <c r="K2" s="3" t="s">
        <v>18</v>
      </c>
      <c r="L2" s="3">
        <v>50</v>
      </c>
      <c r="M2" s="3">
        <v>100</v>
      </c>
      <c r="N2" s="3"/>
      <c r="O2" s="3">
        <v>133</v>
      </c>
    </row>
    <row r="3" spans="1:15" ht="15">
      <c r="A3" s="10">
        <v>2</v>
      </c>
      <c r="B3" s="6" t="s">
        <v>1</v>
      </c>
      <c r="C3" s="6" t="s">
        <v>57</v>
      </c>
      <c r="D3" s="3" t="s">
        <v>25</v>
      </c>
      <c r="E3" s="3" t="s">
        <v>45</v>
      </c>
      <c r="F3" s="5">
        <v>0.04</v>
      </c>
      <c r="G3" s="5"/>
      <c r="H3" s="3">
        <f t="shared" si="0"/>
        <v>120</v>
      </c>
      <c r="I3" s="3">
        <v>5</v>
      </c>
      <c r="J3" s="3" t="s">
        <v>16</v>
      </c>
      <c r="K3" s="3" t="s">
        <v>18</v>
      </c>
      <c r="L3" s="3">
        <v>20</v>
      </c>
      <c r="M3" s="3">
        <v>50</v>
      </c>
      <c r="N3" s="3"/>
      <c r="O3" s="3"/>
    </row>
    <row r="4" spans="1:15" ht="15">
      <c r="A4" s="10">
        <v>3</v>
      </c>
      <c r="B4" s="6" t="s">
        <v>2</v>
      </c>
      <c r="C4" s="6" t="s">
        <v>58</v>
      </c>
      <c r="D4" s="3" t="s">
        <v>25</v>
      </c>
      <c r="E4" s="3" t="s">
        <v>45</v>
      </c>
      <c r="F4" s="5">
        <v>0.04</v>
      </c>
      <c r="G4" s="5"/>
      <c r="H4" s="3">
        <f t="shared" si="0"/>
        <v>120</v>
      </c>
      <c r="I4" s="3">
        <v>12</v>
      </c>
      <c r="J4" s="3" t="s">
        <v>16</v>
      </c>
      <c r="K4" s="3" t="s">
        <v>18</v>
      </c>
      <c r="L4" s="3">
        <v>30</v>
      </c>
      <c r="M4" s="3">
        <v>100</v>
      </c>
      <c r="N4" s="3"/>
      <c r="O4" s="3"/>
    </row>
    <row r="5" spans="1:15" ht="15">
      <c r="A5" s="10">
        <v>4</v>
      </c>
      <c r="B5" s="6" t="s">
        <v>50</v>
      </c>
      <c r="C5" s="6" t="s">
        <v>58</v>
      </c>
      <c r="D5" s="3" t="s">
        <v>25</v>
      </c>
      <c r="E5" s="3" t="s">
        <v>45</v>
      </c>
      <c r="F5" s="5">
        <v>0.04</v>
      </c>
      <c r="G5" s="5"/>
      <c r="H5" s="3">
        <f t="shared" si="0"/>
        <v>120</v>
      </c>
      <c r="I5" s="3">
        <v>7</v>
      </c>
      <c r="J5" s="3" t="s">
        <v>16</v>
      </c>
      <c r="K5" s="3" t="s">
        <v>18</v>
      </c>
      <c r="L5" s="3">
        <v>20</v>
      </c>
      <c r="M5" s="3"/>
      <c r="N5" s="3"/>
      <c r="O5" s="3"/>
    </row>
    <row r="6" spans="1:15" ht="15">
      <c r="A6" s="10">
        <v>5</v>
      </c>
      <c r="B6" s="6" t="s">
        <v>36</v>
      </c>
      <c r="C6" s="6" t="s">
        <v>58</v>
      </c>
      <c r="D6" s="3" t="s">
        <v>25</v>
      </c>
      <c r="E6" s="3" t="s">
        <v>45</v>
      </c>
      <c r="F6" s="5">
        <v>0.04</v>
      </c>
      <c r="G6" s="5"/>
      <c r="H6" s="3">
        <f t="shared" si="0"/>
        <v>120</v>
      </c>
      <c r="I6" s="3">
        <v>7</v>
      </c>
      <c r="J6" s="3" t="s">
        <v>16</v>
      </c>
      <c r="K6" s="3" t="s">
        <v>18</v>
      </c>
      <c r="L6" s="3">
        <v>30</v>
      </c>
      <c r="M6" s="3"/>
      <c r="N6" s="3"/>
      <c r="O6" s="3"/>
    </row>
    <row r="7" spans="1:15" ht="15">
      <c r="A7" s="10">
        <v>6</v>
      </c>
      <c r="B7" s="6" t="s">
        <v>47</v>
      </c>
      <c r="C7" s="6" t="s">
        <v>59</v>
      </c>
      <c r="D7" s="3" t="s">
        <v>25</v>
      </c>
      <c r="E7" s="3" t="s">
        <v>45</v>
      </c>
      <c r="F7" s="5">
        <v>0.04</v>
      </c>
      <c r="G7" s="5"/>
      <c r="H7" s="3">
        <f t="shared" si="0"/>
        <v>120</v>
      </c>
      <c r="I7" s="3">
        <v>50</v>
      </c>
      <c r="J7" s="3" t="s">
        <v>33</v>
      </c>
      <c r="K7" s="3" t="s">
        <v>18</v>
      </c>
      <c r="L7" s="3">
        <v>500</v>
      </c>
      <c r="M7" s="3"/>
      <c r="N7" s="3"/>
      <c r="O7" s="3">
        <v>40</v>
      </c>
    </row>
    <row r="8" spans="1:15" ht="15">
      <c r="A8" s="10">
        <v>7</v>
      </c>
      <c r="B8" s="6" t="s">
        <v>48</v>
      </c>
      <c r="C8" s="6" t="s">
        <v>59</v>
      </c>
      <c r="D8" s="3" t="s">
        <v>25</v>
      </c>
      <c r="E8" s="3" t="s">
        <v>45</v>
      </c>
      <c r="F8" s="5">
        <v>0.04</v>
      </c>
      <c r="G8" s="5"/>
      <c r="H8" s="3">
        <f t="shared" si="0"/>
        <v>120</v>
      </c>
      <c r="I8" s="3">
        <v>4</v>
      </c>
      <c r="J8" s="3" t="s">
        <v>16</v>
      </c>
      <c r="K8" s="3" t="s">
        <v>18</v>
      </c>
      <c r="L8" s="3">
        <v>20</v>
      </c>
      <c r="M8" s="3"/>
      <c r="N8" s="3"/>
      <c r="O8" s="3"/>
    </row>
    <row r="9" spans="1:15" ht="15">
      <c r="A9" s="10">
        <v>8</v>
      </c>
      <c r="B9" s="6" t="s">
        <v>6</v>
      </c>
      <c r="C9" s="6" t="s">
        <v>60</v>
      </c>
      <c r="D9" s="3" t="s">
        <v>25</v>
      </c>
      <c r="E9" s="3" t="s">
        <v>45</v>
      </c>
      <c r="F9" s="5">
        <v>0.04</v>
      </c>
      <c r="G9" s="5"/>
      <c r="H9" s="3">
        <f t="shared" si="0"/>
        <v>120</v>
      </c>
      <c r="I9" s="3">
        <v>8</v>
      </c>
      <c r="J9" s="3" t="s">
        <v>16</v>
      </c>
      <c r="K9" s="3" t="s">
        <v>18</v>
      </c>
      <c r="L9" s="3">
        <v>10</v>
      </c>
      <c r="M9" s="3"/>
      <c r="N9" s="4"/>
      <c r="O9" s="3"/>
    </row>
    <row r="10" spans="1:15" ht="15">
      <c r="A10" s="10">
        <v>9</v>
      </c>
      <c r="B10" s="6" t="s">
        <v>3</v>
      </c>
      <c r="C10" s="6" t="s">
        <v>60</v>
      </c>
      <c r="D10" s="3" t="s">
        <v>25</v>
      </c>
      <c r="E10" s="3" t="s">
        <v>45</v>
      </c>
      <c r="F10" s="5">
        <v>0.04</v>
      </c>
      <c r="G10" s="5"/>
      <c r="H10" s="3">
        <f t="shared" si="0"/>
        <v>120</v>
      </c>
      <c r="I10" s="3">
        <v>40</v>
      </c>
      <c r="J10" s="3" t="s">
        <v>16</v>
      </c>
      <c r="K10" s="3" t="s">
        <v>18</v>
      </c>
      <c r="L10" s="3">
        <v>100</v>
      </c>
      <c r="M10" s="3"/>
      <c r="N10" s="3"/>
      <c r="O10" s="3"/>
    </row>
    <row r="11" spans="1:15" ht="15">
      <c r="A11" s="10">
        <v>10</v>
      </c>
      <c r="B11" s="6" t="s">
        <v>49</v>
      </c>
      <c r="C11" s="6" t="s">
        <v>60</v>
      </c>
      <c r="D11" s="3" t="s">
        <v>72</v>
      </c>
      <c r="E11" s="3" t="s">
        <v>45</v>
      </c>
      <c r="F11" s="5">
        <v>0.04</v>
      </c>
      <c r="G11" s="5"/>
      <c r="H11" s="3">
        <f t="shared" si="0"/>
        <v>120</v>
      </c>
      <c r="I11" s="3">
        <v>7</v>
      </c>
      <c r="J11" s="3" t="s">
        <v>16</v>
      </c>
      <c r="K11" s="3" t="s">
        <v>18</v>
      </c>
      <c r="L11" s="3">
        <v>20</v>
      </c>
      <c r="M11" s="3"/>
      <c r="N11" s="3"/>
      <c r="O11" s="3"/>
    </row>
    <row r="12" spans="1:15" ht="15">
      <c r="A12" s="10">
        <v>11</v>
      </c>
      <c r="B12" s="6" t="s">
        <v>53</v>
      </c>
      <c r="C12" s="6" t="s">
        <v>67</v>
      </c>
      <c r="D12" s="3" t="s">
        <v>25</v>
      </c>
      <c r="E12" s="3" t="s">
        <v>45</v>
      </c>
      <c r="F12" s="5">
        <v>0.04</v>
      </c>
      <c r="G12" s="5"/>
      <c r="H12" s="3">
        <f t="shared" si="0"/>
        <v>120</v>
      </c>
      <c r="I12" s="3">
        <v>8</v>
      </c>
      <c r="J12" s="3" t="s">
        <v>16</v>
      </c>
      <c r="K12" s="3" t="s">
        <v>18</v>
      </c>
      <c r="L12" s="3">
        <v>20</v>
      </c>
      <c r="M12" s="3"/>
      <c r="N12" s="4"/>
      <c r="O12" s="3"/>
    </row>
    <row r="13" spans="1:15" ht="15">
      <c r="A13" s="10">
        <v>12</v>
      </c>
      <c r="B13" s="6" t="s">
        <v>7</v>
      </c>
      <c r="C13" s="6" t="s">
        <v>61</v>
      </c>
      <c r="D13" s="3" t="s">
        <v>25</v>
      </c>
      <c r="E13" s="3" t="s">
        <v>45</v>
      </c>
      <c r="F13" s="5">
        <v>0.04</v>
      </c>
      <c r="G13" s="5"/>
      <c r="H13" s="3">
        <f t="shared" si="0"/>
        <v>120</v>
      </c>
      <c r="I13" s="3">
        <v>16</v>
      </c>
      <c r="J13" s="3" t="s">
        <v>33</v>
      </c>
      <c r="K13" s="3" t="s">
        <v>18</v>
      </c>
      <c r="L13" s="3">
        <v>20</v>
      </c>
      <c r="M13" s="3"/>
      <c r="N13" s="4"/>
      <c r="O13" s="3"/>
    </row>
    <row r="14" spans="1:15" ht="15">
      <c r="A14" s="10">
        <v>13</v>
      </c>
      <c r="B14" s="6" t="s">
        <v>4</v>
      </c>
      <c r="C14" s="6" t="s">
        <v>68</v>
      </c>
      <c r="D14" s="3" t="s">
        <v>55</v>
      </c>
      <c r="E14" s="3" t="s">
        <v>45</v>
      </c>
      <c r="F14" s="5">
        <v>0.04</v>
      </c>
      <c r="G14" s="5"/>
      <c r="H14" s="3">
        <f t="shared" si="0"/>
        <v>120</v>
      </c>
      <c r="I14" s="3">
        <v>15</v>
      </c>
      <c r="J14" s="3" t="s">
        <v>33</v>
      </c>
      <c r="K14" s="3" t="s">
        <v>18</v>
      </c>
      <c r="L14" s="3">
        <v>20</v>
      </c>
      <c r="M14" s="3"/>
      <c r="O14" s="3"/>
    </row>
    <row r="15" spans="1:15" ht="15">
      <c r="A15" s="10">
        <v>14</v>
      </c>
      <c r="B15" s="6" t="s">
        <v>5</v>
      </c>
      <c r="C15" s="6" t="s">
        <v>58</v>
      </c>
      <c r="D15" s="3" t="s">
        <v>54</v>
      </c>
      <c r="E15" s="3" t="s">
        <v>45</v>
      </c>
      <c r="F15" s="5">
        <v>0.04</v>
      </c>
      <c r="G15" s="5"/>
      <c r="H15" s="3">
        <f t="shared" si="0"/>
        <v>120</v>
      </c>
      <c r="I15" s="3">
        <v>2</v>
      </c>
      <c r="J15" s="3" t="s">
        <v>33</v>
      </c>
      <c r="K15" s="3" t="s">
        <v>18</v>
      </c>
      <c r="L15" s="3">
        <v>20</v>
      </c>
      <c r="M15" s="3"/>
      <c r="O15" s="3"/>
    </row>
    <row r="16" spans="1:15" ht="15">
      <c r="A16" s="10">
        <v>15</v>
      </c>
      <c r="B16" s="6" t="s">
        <v>52</v>
      </c>
      <c r="C16" s="6" t="s">
        <v>62</v>
      </c>
      <c r="D16" s="3" t="s">
        <v>51</v>
      </c>
      <c r="E16" s="3" t="s">
        <v>46</v>
      </c>
      <c r="F16" s="5">
        <v>0.05</v>
      </c>
      <c r="G16" s="5"/>
      <c r="H16" s="3">
        <f t="shared" si="0"/>
        <v>150</v>
      </c>
      <c r="I16" s="3">
        <v>5</v>
      </c>
      <c r="J16" s="3" t="s">
        <v>33</v>
      </c>
      <c r="K16" s="3" t="s">
        <v>18</v>
      </c>
      <c r="L16" s="3">
        <v>10</v>
      </c>
      <c r="M16" s="3"/>
    </row>
    <row r="17" spans="1:14" ht="15">
      <c r="A17" s="10">
        <v>16</v>
      </c>
      <c r="B17" s="6" t="s">
        <v>10</v>
      </c>
      <c r="C17" s="6" t="s">
        <v>63</v>
      </c>
      <c r="D17" s="3" t="s">
        <v>26</v>
      </c>
      <c r="E17" s="3" t="s">
        <v>45</v>
      </c>
      <c r="F17" s="5">
        <v>0.28999999999999998</v>
      </c>
      <c r="G17" s="5">
        <v>0.28000000000000003</v>
      </c>
      <c r="H17" s="3">
        <f t="shared" si="0"/>
        <v>869.99999999999989</v>
      </c>
      <c r="I17" s="3">
        <v>90</v>
      </c>
      <c r="J17" s="3" t="s">
        <v>16</v>
      </c>
      <c r="K17" s="3" t="s">
        <v>22</v>
      </c>
      <c r="L17" s="3">
        <v>10</v>
      </c>
      <c r="M17" s="3"/>
      <c r="N17" s="4" t="s">
        <v>32</v>
      </c>
    </row>
    <row r="18" spans="1:14" ht="15">
      <c r="A18" s="10">
        <v>17</v>
      </c>
      <c r="B18" s="6" t="s">
        <v>11</v>
      </c>
      <c r="C18" s="6" t="s">
        <v>63</v>
      </c>
      <c r="D18" s="3" t="s">
        <v>27</v>
      </c>
      <c r="E18" s="3" t="s">
        <v>45</v>
      </c>
      <c r="F18" s="5">
        <v>0.1</v>
      </c>
      <c r="G18" s="5">
        <v>0.03</v>
      </c>
      <c r="H18" s="3">
        <f t="shared" si="0"/>
        <v>300</v>
      </c>
      <c r="I18" s="3">
        <v>8</v>
      </c>
      <c r="J18" s="3" t="s">
        <v>16</v>
      </c>
      <c r="K18" s="3" t="s">
        <v>22</v>
      </c>
      <c r="L18" s="3">
        <v>30</v>
      </c>
      <c r="M18" s="3"/>
      <c r="N18" s="3" t="s">
        <v>69</v>
      </c>
    </row>
    <row r="24" spans="1:14">
      <c r="F24" s="5"/>
      <c r="G24" s="5"/>
      <c r="K24" s="3"/>
      <c r="L24" s="3"/>
      <c r="M24" s="3"/>
      <c r="N24" s="3"/>
    </row>
    <row r="41" spans="2:15">
      <c r="B41" s="3" t="s">
        <v>42</v>
      </c>
    </row>
    <row r="42" spans="2:15" ht="18">
      <c r="B42" s="1" t="s">
        <v>8</v>
      </c>
      <c r="C42" s="1"/>
      <c r="D42" s="1" t="s">
        <v>24</v>
      </c>
      <c r="E42" s="1"/>
      <c r="F42" s="1" t="s">
        <v>9</v>
      </c>
      <c r="G42" s="1"/>
      <c r="H42" s="1" t="s">
        <v>12</v>
      </c>
      <c r="I42" s="1"/>
      <c r="J42" s="1" t="s">
        <v>15</v>
      </c>
      <c r="K42" s="1" t="s">
        <v>17</v>
      </c>
      <c r="L42" s="1"/>
      <c r="M42" s="1"/>
      <c r="N42" s="1" t="s">
        <v>13</v>
      </c>
      <c r="O42" s="1" t="s">
        <v>23</v>
      </c>
    </row>
    <row r="43" spans="2:15" ht="15">
      <c r="B43" s="2" t="s">
        <v>36</v>
      </c>
      <c r="C43" s="7"/>
      <c r="D43" s="3" t="s">
        <v>25</v>
      </c>
      <c r="F43" s="3">
        <v>5</v>
      </c>
      <c r="H43" s="3">
        <v>50</v>
      </c>
      <c r="J43" s="3" t="s">
        <v>16</v>
      </c>
      <c r="K43" s="3" t="s">
        <v>18</v>
      </c>
      <c r="L43" s="3"/>
      <c r="M43" s="3"/>
      <c r="N43" s="3" t="s">
        <v>19</v>
      </c>
      <c r="O43" s="3">
        <v>133</v>
      </c>
    </row>
    <row r="44" spans="2:15" ht="15">
      <c r="B44" s="2" t="s">
        <v>2</v>
      </c>
      <c r="C44" s="7"/>
      <c r="D44" s="3" t="s">
        <v>25</v>
      </c>
      <c r="F44" s="3">
        <v>5</v>
      </c>
      <c r="H44" s="3">
        <v>50</v>
      </c>
      <c r="J44" s="3" t="s">
        <v>16</v>
      </c>
      <c r="K44" s="3" t="s">
        <v>18</v>
      </c>
      <c r="L44" s="3"/>
      <c r="M44" s="3"/>
      <c r="N44" s="3" t="s">
        <v>14</v>
      </c>
      <c r="O44" s="3"/>
    </row>
    <row r="45" spans="2:15" ht="15">
      <c r="B45" s="2" t="s">
        <v>37</v>
      </c>
      <c r="C45" s="7"/>
      <c r="D45" s="3" t="s">
        <v>25</v>
      </c>
      <c r="F45" s="3">
        <v>5</v>
      </c>
      <c r="H45" s="3">
        <v>50</v>
      </c>
      <c r="J45" s="3" t="s">
        <v>16</v>
      </c>
      <c r="K45" s="3" t="s">
        <v>18</v>
      </c>
      <c r="L45" s="3"/>
      <c r="M45" s="3"/>
      <c r="N45" s="3" t="s">
        <v>19</v>
      </c>
      <c r="O45" s="3"/>
    </row>
    <row r="46" spans="2:15" ht="15">
      <c r="B46" s="2" t="s">
        <v>38</v>
      </c>
      <c r="C46" s="7"/>
      <c r="D46" s="3" t="s">
        <v>25</v>
      </c>
      <c r="F46" s="3">
        <v>5</v>
      </c>
      <c r="H46" s="3">
        <v>50</v>
      </c>
      <c r="J46" s="3" t="s">
        <v>16</v>
      </c>
      <c r="K46" s="3" t="s">
        <v>18</v>
      </c>
      <c r="L46" s="3"/>
      <c r="M46" s="3"/>
      <c r="N46" s="3" t="s">
        <v>34</v>
      </c>
      <c r="O46" s="3"/>
    </row>
    <row r="47" spans="2:15" ht="15">
      <c r="B47" s="2" t="s">
        <v>39</v>
      </c>
      <c r="C47" s="7"/>
      <c r="D47" s="3" t="s">
        <v>25</v>
      </c>
      <c r="F47" s="3">
        <v>5</v>
      </c>
      <c r="H47" s="3">
        <v>50</v>
      </c>
      <c r="J47" s="3" t="s">
        <v>16</v>
      </c>
      <c r="K47" s="3" t="s">
        <v>18</v>
      </c>
      <c r="L47" s="3"/>
      <c r="M47" s="3"/>
      <c r="N47" s="3" t="s">
        <v>19</v>
      </c>
      <c r="O47" s="3"/>
    </row>
    <row r="48" spans="2:15" ht="15">
      <c r="B48" s="2" t="s">
        <v>40</v>
      </c>
      <c r="C48" s="7"/>
      <c r="D48" s="3" t="s">
        <v>28</v>
      </c>
      <c r="F48" s="3">
        <v>5</v>
      </c>
      <c r="H48" s="3">
        <v>50</v>
      </c>
      <c r="J48" s="3" t="s">
        <v>33</v>
      </c>
      <c r="K48" s="3" t="s">
        <v>18</v>
      </c>
      <c r="L48" s="3"/>
      <c r="M48" s="3"/>
      <c r="N48" s="3" t="s">
        <v>20</v>
      </c>
      <c r="O48" s="3">
        <v>40</v>
      </c>
    </row>
    <row r="49" spans="2:15" ht="15">
      <c r="B49" s="2" t="s">
        <v>41</v>
      </c>
      <c r="C49" s="7"/>
      <c r="D49" s="3" t="s">
        <v>25</v>
      </c>
      <c r="F49" s="3">
        <v>5</v>
      </c>
      <c r="H49" s="3">
        <v>50</v>
      </c>
      <c r="J49" s="3" t="s">
        <v>16</v>
      </c>
      <c r="K49" s="3" t="s">
        <v>18</v>
      </c>
      <c r="L49" s="3"/>
      <c r="M49" s="3"/>
      <c r="N49" s="3" t="s">
        <v>35</v>
      </c>
      <c r="O49" s="3"/>
    </row>
    <row r="50" spans="2:15" ht="15">
      <c r="B50" s="2"/>
      <c r="C50" s="7"/>
      <c r="D50" s="3" t="s">
        <v>25</v>
      </c>
      <c r="F50" s="3">
        <v>5</v>
      </c>
      <c r="H50" s="3">
        <v>50</v>
      </c>
      <c r="J50" s="3" t="s">
        <v>16</v>
      </c>
      <c r="K50" s="3" t="s">
        <v>18</v>
      </c>
      <c r="L50" s="3"/>
      <c r="M50" s="3"/>
      <c r="N50" s="4"/>
      <c r="O50" s="3"/>
    </row>
    <row r="51" spans="2:15" ht="15">
      <c r="B51" s="2"/>
      <c r="C51" s="7"/>
      <c r="D51" s="3" t="s">
        <v>25</v>
      </c>
      <c r="F51" s="3">
        <v>5</v>
      </c>
      <c r="H51" s="3">
        <v>50</v>
      </c>
      <c r="J51" s="3" t="s">
        <v>16</v>
      </c>
      <c r="K51" s="3" t="s">
        <v>18</v>
      </c>
      <c r="L51" s="3"/>
      <c r="M51" s="3"/>
      <c r="N51" s="3" t="s">
        <v>19</v>
      </c>
      <c r="O51" s="3">
        <v>170</v>
      </c>
    </row>
    <row r="52" spans="2:15" ht="15">
      <c r="B52" s="2"/>
      <c r="C52" s="7"/>
      <c r="D52" s="3" t="s">
        <v>25</v>
      </c>
      <c r="F52" s="3">
        <v>5</v>
      </c>
      <c r="H52" s="3">
        <v>50</v>
      </c>
      <c r="J52" s="3" t="s">
        <v>16</v>
      </c>
      <c r="K52" s="3" t="s">
        <v>18</v>
      </c>
      <c r="L52" s="3"/>
      <c r="M52" s="3"/>
      <c r="N52" s="3" t="s">
        <v>21</v>
      </c>
      <c r="O52" s="3">
        <v>65</v>
      </c>
    </row>
    <row r="53" spans="2:15" ht="15">
      <c r="B53" s="2"/>
      <c r="C53" s="7"/>
      <c r="D53" s="3" t="s">
        <v>28</v>
      </c>
      <c r="F53" s="3">
        <v>5</v>
      </c>
      <c r="H53" s="3">
        <v>50</v>
      </c>
      <c r="J53" s="3" t="s">
        <v>16</v>
      </c>
      <c r="K53" s="3" t="s">
        <v>18</v>
      </c>
      <c r="L53" s="3"/>
      <c r="M53" s="3"/>
      <c r="N53" s="4" t="s">
        <v>30</v>
      </c>
      <c r="O53" s="3"/>
    </row>
    <row r="54" spans="2:15" ht="15">
      <c r="B54" s="2"/>
      <c r="C54" s="7"/>
      <c r="D54" s="3" t="s">
        <v>25</v>
      </c>
      <c r="F54" s="3">
        <v>5</v>
      </c>
      <c r="H54" s="3">
        <v>50</v>
      </c>
      <c r="J54" s="3" t="s">
        <v>33</v>
      </c>
      <c r="K54" s="3" t="s">
        <v>18</v>
      </c>
      <c r="L54" s="3"/>
      <c r="M54" s="3"/>
      <c r="N54" s="4" t="s">
        <v>31</v>
      </c>
      <c r="O54" s="3"/>
    </row>
    <row r="55" spans="2:15" ht="15">
      <c r="B55" s="2"/>
      <c r="C55" s="7"/>
      <c r="D55" s="3" t="s">
        <v>25</v>
      </c>
      <c r="F55" s="3">
        <v>5</v>
      </c>
      <c r="H55" s="3">
        <v>50</v>
      </c>
      <c r="J55" s="3" t="s">
        <v>16</v>
      </c>
      <c r="K55" s="3" t="s">
        <v>18</v>
      </c>
      <c r="L55" s="3"/>
      <c r="M55" s="3"/>
      <c r="N55" s="4" t="s">
        <v>31</v>
      </c>
      <c r="O55" s="3">
        <v>56</v>
      </c>
    </row>
    <row r="56" spans="2:15" ht="15">
      <c r="B56" s="2"/>
      <c r="C56" s="7"/>
      <c r="D56" s="3" t="s">
        <v>25</v>
      </c>
      <c r="F56" s="3">
        <v>5</v>
      </c>
      <c r="H56" s="3">
        <v>50</v>
      </c>
      <c r="J56" s="3" t="s">
        <v>16</v>
      </c>
      <c r="K56" s="3" t="s">
        <v>18</v>
      </c>
      <c r="L56" s="3"/>
      <c r="M56" s="3"/>
      <c r="N56" s="4" t="s">
        <v>19</v>
      </c>
      <c r="O56" s="3">
        <v>140</v>
      </c>
    </row>
    <row r="57" spans="2:15" ht="15">
      <c r="B57" s="2"/>
      <c r="C57" s="7"/>
      <c r="D57" s="3" t="s">
        <v>25</v>
      </c>
      <c r="F57" s="3">
        <v>5</v>
      </c>
      <c r="H57" s="3">
        <v>50</v>
      </c>
      <c r="J57" s="3" t="s">
        <v>16</v>
      </c>
      <c r="K57" s="3" t="s">
        <v>18</v>
      </c>
      <c r="L57" s="3"/>
      <c r="M57" s="3"/>
      <c r="N57" s="3" t="s">
        <v>21</v>
      </c>
      <c r="O57" s="3"/>
    </row>
    <row r="58" spans="2:15" ht="15">
      <c r="B58" s="2" t="s">
        <v>10</v>
      </c>
      <c r="C58" s="7"/>
      <c r="D58" s="3" t="s">
        <v>26</v>
      </c>
      <c r="F58" s="3">
        <v>10</v>
      </c>
      <c r="H58" s="3">
        <v>100</v>
      </c>
      <c r="J58" s="3" t="s">
        <v>16</v>
      </c>
      <c r="K58" s="3" t="s">
        <v>22</v>
      </c>
      <c r="L58" s="3"/>
      <c r="M58" s="3"/>
      <c r="N58" s="4" t="s">
        <v>32</v>
      </c>
      <c r="O58" s="3"/>
    </row>
    <row r="59" spans="2:15" ht="15">
      <c r="B59" s="2"/>
      <c r="C59" s="7"/>
      <c r="D59" s="3" t="s">
        <v>27</v>
      </c>
      <c r="F59" s="3">
        <v>15</v>
      </c>
      <c r="H59" s="3">
        <v>150</v>
      </c>
      <c r="J59" s="3" t="s">
        <v>16</v>
      </c>
      <c r="K59" s="3" t="s">
        <v>22</v>
      </c>
      <c r="L59" s="3"/>
      <c r="M59" s="3"/>
      <c r="N59" s="4" t="s">
        <v>29</v>
      </c>
      <c r="O59" s="3">
        <v>14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allocation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Witte, Julius</cp:lastModifiedBy>
  <cp:revision/>
  <dcterms:created xsi:type="dcterms:W3CDTF">2024-01-30T09:02:21Z</dcterms:created>
  <dcterms:modified xsi:type="dcterms:W3CDTF">2025-05-12T14:53:10Z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6f01b5-c24b-4fa8-8e8f-cee31f47fe31_Enabled">
    <vt:lpwstr>true</vt:lpwstr>
  </property>
  <property fmtid="{D5CDD505-2E9C-101B-9397-08002B2CF9AE}" pid="3" name="MSIP_Label_fa6f01b5-c24b-4fa8-8e8f-cee31f47fe31_SetDate">
    <vt:lpwstr>2023-08-29T15:31:32Z</vt:lpwstr>
  </property>
  <property fmtid="{D5CDD505-2E9C-101B-9397-08002B2CF9AE}" pid="4" name="MSIP_Label_fa6f01b5-c24b-4fa8-8e8f-cee31f47fe31_Method">
    <vt:lpwstr>Privileged</vt:lpwstr>
  </property>
  <property fmtid="{D5CDD505-2E9C-101B-9397-08002B2CF9AE}" pid="5" name="MSIP_Label_fa6f01b5-c24b-4fa8-8e8f-cee31f47fe31_Name">
    <vt:lpwstr>fa6f01b5-c24b-4fa8-8e8f-cee31f47fe31</vt:lpwstr>
  </property>
  <property fmtid="{D5CDD505-2E9C-101B-9397-08002B2CF9AE}" pid="6" name="MSIP_Label_fa6f01b5-c24b-4fa8-8e8f-cee31f47fe31_SiteId">
    <vt:lpwstr>7a916015-20ae-4ad1-9170-eefd915e9272</vt:lpwstr>
  </property>
  <property fmtid="{D5CDD505-2E9C-101B-9397-08002B2CF9AE}" pid="7" name="MSIP_Label_fa6f01b5-c24b-4fa8-8e8f-cee31f47fe31_ActionId">
    <vt:lpwstr>d41676e2-0f54-4896-874e-d1843eccb7c0</vt:lpwstr>
  </property>
  <property fmtid="{D5CDD505-2E9C-101B-9397-08002B2CF9AE}" pid="8" name="MSIP_Label_fa6f01b5-c24b-4fa8-8e8f-cee31f47fe31_ContentBits">
    <vt:lpwstr>0</vt:lpwstr>
  </property>
</Properties>
</file>